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ueball masses" sheetId="1" state="visible" r:id="rId3"/>
    <sheet name="O(y4) verification" sheetId="2" state="visible" r:id="rId4"/>
    <sheet name="Sources &amp; acces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<sst xmlns="http://schemas.openxmlformats.org/spreadsheetml/2006/main" count="116" uniqueCount="102">
  <si>
    <t xml:space="preserve">SU(3) glueball masses relevant to the O(y⁴) C-odd flat-band work (curated 2026-06-13)</t>
  </si>
  <si>
    <t xml:space="preserve">J^PC</t>
  </si>
  <si>
    <t xml:space="preserve">Cubic rep</t>
  </si>
  <si>
    <t xml:space="preserve">C</t>
  </si>
  <si>
    <t xml:space="preserve">M/√σ</t>
  </si>
  <si>
    <t xml:space="preserve">± (M/√σ)</t>
  </si>
  <si>
    <t xml:space="preserve">√σ [MeV]</t>
  </si>
  <si>
    <t xml:space="preserve">± √σ</t>
  </si>
  <si>
    <t xml:space="preserve">Mass [MeV]</t>
  </si>
  <si>
    <t xml:space="preserve">± Mass</t>
  </si>
  <si>
    <t xml:space="preserve">M/√σ implied (÷√σ)</t>
  </si>
  <si>
    <t xml:space="preserve">Method</t>
  </si>
  <si>
    <t xml:space="preserve">Source (arXiv)</t>
  </si>
  <si>
    <t xml:space="preserve">0++</t>
  </si>
  <si>
    <t xml:space="preserve">A1++</t>
  </si>
  <si>
    <t xml:space="preserve">+</t>
  </si>
  <si>
    <t xml:space="preserve">Euclidean lattice → continuum</t>
  </si>
  <si>
    <t xml:space="preserve">2007.06422 (Athenodorou–Teper)</t>
  </si>
  <si>
    <t xml:space="preserve">Monte Carlo, Kogut–Susskind Hamiltonian limit</t>
  </si>
  <si>
    <t xml:space="preserve">hep-lat/0503038</t>
  </si>
  <si>
    <t xml:space="preserve">2++</t>
  </si>
  <si>
    <t xml:space="preserve">E++/T2++</t>
  </si>
  <si>
    <t xml:space="preserve">1+-</t>
  </si>
  <si>
    <t xml:space="preserve">T1+-</t>
  </si>
  <si>
    <t xml:space="preserve">−</t>
  </si>
  <si>
    <t xml:space="preserve">Notes:</t>
  </si>
  <si>
    <t xml:space="preserve">• 1+- (T1+-) is the C-odd glueball whose one-flux band our O(y⁴) result describes (flat through O(y³), lifts at O(y⁴)).</t>
  </si>
  <si>
    <t xml:space="preserve">• Mass[MeV] and ±Mass for the AT 0++ row are Excel formulas: M = (M/√σ)·√σ with errors added in quadrature. Edit √σ (F4) to rescale.</t>
  </si>
  <si>
    <t xml:space="preserve">• "M/√σ implied" divides each mass by the AT scale √σ=485 MeV ($F$4): Hamiltonian-limit 0++ → 3.41 vs AT 3.405 ⇒ formalisms agree.</t>
  </si>
  <si>
    <t xml:space="preserve">• Hamiltonian-limit masses are verbatim from hep-lat/0503038 (same Kogut–Susskind formalism as our work).</t>
  </si>
  <si>
    <t xml:space="preserve">• Full AT continuum tower (all R^{PC}; Tables 14/15/17/18) is past the fetch limit — not transcribed here to avoid fabricated numbers.</t>
  </si>
  <si>
    <t xml:space="preserve">SU(3) O(y⁴) C-odd flat-band — verified result (independent re-derivation)</t>
  </si>
  <si>
    <t xml:space="preserve">Quantity</t>
  </si>
  <si>
    <t xml:space="preserve">Exact value (rational / text)</t>
  </si>
  <si>
    <t xml:space="preserve">Decimal</t>
  </si>
  <si>
    <t xml:space="preserve">Verdict</t>
  </si>
  <si>
    <t xml:space="preserve">LIFT — flat through O(y³), disperses at O(y⁴)</t>
  </si>
  <si>
    <t xml:space="preserve">c4(π,0,0)</t>
  </si>
  <si>
    <t xml:space="preserve">-17700498622147435111/7250590288602460800</t>
  </si>
  <si>
    <t xml:space="preserve">c4(π,π,0)</t>
  </si>
  <si>
    <t xml:space="preserve">-4367164159624988707/1812647572150615200</t>
  </si>
  <si>
    <t xml:space="preserve">c4(π,π,π)</t>
  </si>
  <si>
    <t xml:space="preserve">-3447362930970494909/1450118057720492160</t>
  </si>
  <si>
    <t xml:space="preserve">Dispersion witness  c4(π,π,π)−c4(π,0,0)</t>
  </si>
  <si>
    <t xml:space="preserve">17607806155349/275331901291200</t>
  </si>
  <si>
    <t xml:space="preserve">Wp (parity)</t>
  </si>
  <si>
    <t xml:space="preserve">-17700498622147435111/87007083463229529600</t>
  </si>
  <si>
    <t xml:space="preserve">Wc (parity)</t>
  </si>
  <si>
    <t xml:space="preserve">-34705471293352429373/174014166926459059200</t>
  </si>
  <si>
    <t xml:space="preserve">Wp − Wc</t>
  </si>
  <si>
    <t xml:space="preserve">-17607806155349/4405310420659200</t>
  </si>
  <si>
    <t xml:space="preserve">Real-space cube residual (max leakage)</t>
  </si>
  <si>
    <t xml:space="preserve">5/48</t>
  </si>
  <si>
    <t xml:space="preserve">Bandwidth lower bound (parity witness)</t>
  </si>
  <si>
    <t xml:space="preserve">True BZ bandwidth (numeric)</t>
  </si>
  <si>
    <t xml:space="preserve">≈ 0.48 (min near Γ)</t>
  </si>
  <si>
    <t xml:space="preserve">Independent gates</t>
  </si>
  <si>
    <t xml:space="preserve">Gate</t>
  </si>
  <si>
    <t xml:space="preserve">Check</t>
  </si>
  <si>
    <t xml:space="preserve">Result</t>
  </si>
  <si>
    <t xml:space="preserve">G1</t>
  </si>
  <si>
    <t xml:space="preserve">3G Haar contraction reproduces all 2,798 Stage-3F amplitudes</t>
  </si>
  <si>
    <t xml:space="preserve">PASS (exact)</t>
  </si>
  <si>
    <t xml:space="preserve">G2</t>
  </si>
  <si>
    <t xml:space="preserve">des-Cloizeaux folded identity vs brute-force 4th-order PT</t>
  </si>
  <si>
    <t xml:space="preserve">G3</t>
  </si>
  <si>
    <t xml:space="preserve">189-entry H4 kernel exactly Hermitian</t>
  </si>
  <si>
    <t xml:space="preserve">PASS</t>
  </si>
  <si>
    <t xml:space="preserve">G4</t>
  </si>
  <si>
    <t xml:space="preserve">parity-momentum corrections match theorem; witness ≠ 0</t>
  </si>
  <si>
    <t xml:space="preserve">PASS — LIFT</t>
  </si>
  <si>
    <t xml:space="preserve">G5</t>
  </si>
  <si>
    <t xml:space="preserve">real-space cube residual: max 5/48 on 6 plaquettes</t>
  </si>
  <si>
    <t xml:space="preserve">Rep</t>
  </si>
  <si>
    <t xml:space="preserve">SU(3) fusion dictionary: Schur vs LR (100 products, 10 anchors)</t>
  </si>
  <si>
    <t xml:space="preserve">Sources &amp; raw-config access</t>
  </si>
  <si>
    <t xml:space="preserve">Reference</t>
  </si>
  <si>
    <t xml:space="preserve">What it provides</t>
  </si>
  <si>
    <t xml:space="preserve">arXiv / URL</t>
  </si>
  <si>
    <t xml:space="preserve">Type</t>
  </si>
  <si>
    <t xml:space="preserve">Athenodorou &amp; Teper, JHEP 11(2020)172</t>
  </si>
  <si>
    <t xml:space="preserve">Continuum SU(3) glueball spectrum, all R^{PC}; 0++ ratio + scale</t>
  </si>
  <si>
    <t xml:space="preserve">arxiv.org/abs/2007.06422</t>
  </si>
  <si>
    <t xml:space="preserve">spectrum</t>
  </si>
  <si>
    <t xml:space="preserve">MC glueball masses, Hamiltonian limit of SU(3)</t>
  </si>
  <si>
    <t xml:space="preserve">0++,2++,1+- masses; same Kogut–Susskind formalism</t>
  </si>
  <si>
    <t xml:space="preserve">arxiv.org/abs/hep-lat/0503038</t>
  </si>
  <si>
    <t xml:space="preserve">spectrum (Hamiltonian)</t>
  </si>
  <si>
    <t xml:space="preserve">Pavel (2016/2021)</t>
  </si>
  <si>
    <t xml:space="preserve">SU(3) YM Hamiltonian, strong-coupling expansion in λ=g^(-2/3)</t>
  </si>
  <si>
    <t xml:space="preserve">arxiv.org/abs/1611.06542</t>
  </si>
  <si>
    <t xml:space="preserve">strong-coupling series</t>
  </si>
  <si>
    <t xml:space="preserve">YM Hamiltonian in spatial derivatives</t>
  </si>
  <si>
    <t xml:space="preserve">Glueball spectrum from derivative expansion</t>
  </si>
  <si>
    <t xml:space="preserve">arxiv.org/abs/0912.5465</t>
  </si>
  <si>
    <t xml:space="preserve">ILDG — International Lattice Data Grid</t>
  </si>
  <si>
    <t xml:space="preserve">Catalogue of SU(3) gauge ensembles (ILDG format)</t>
  </si>
  <si>
    <t xml:space="preserve">hpc.desy.de/ildg/</t>
  </si>
  <si>
    <t xml:space="preserve">raw configs (portal)</t>
  </si>
  <si>
    <t xml:space="preserve">OpenLat (Open Lattice Initiative)</t>
  </si>
  <si>
    <t xml:space="preserve">Nf=2+1 SWF ensembles, ILDG-compatible, public post-publication</t>
  </si>
  <si>
    <t xml:space="preserve">arxiv.org/abs/2212.07314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</si>
</sst>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"/>
    <numFmt numFmtId="167" formatCode="0.0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2E7D3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C6E0B4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32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4"/>
    <col collapsed="false" customWidth="true" hidden="false" outlineLevel="0" max="4" min="4" style="0" width="8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6"/>
    <col collapsed="false" customWidth="true" hidden="false" outlineLevel="0" max="11" min="11" style="0" width="38"/>
    <col collapsed="false" customWidth="true" hidden="false" outlineLevel="0" max="12" min="12" style="0" width="2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customFormat="false" ht="15" hidden="false" customHeight="false" outlineLevel="0" collapsed="false">
      <c r="A4" s="3" t="s">
        <v>13</v>
      </c>
      <c r="B4" s="3" t="s">
        <v>14</v>
      </c>
      <c r="C4" s="4" t="s">
        <v>15</v>
      </c>
      <c r="D4" s="5" t="n">
        <v>3.405</v>
      </c>
      <c r="E4" s="5" t="n">
        <v>0.021</v>
      </c>
      <c r="F4" s="6" t="n">
        <v>485</v>
      </c>
      <c r="G4" s="6" t="n">
        <v>6</v>
      </c>
      <c r="H4" s="6" t="n">
        <f aca="false">D4*F4</f>
        <v>1651.425</v>
      </c>
      <c r="I4" s="6" t="n">
        <f aca="false">SQRT((E4/D4)^2+(G4/F4)^2)*H4</f>
        <v>22.8280337523844</v>
      </c>
      <c r="J4" s="5" t="n">
        <f aca="false">H4/$F$4</f>
        <v>3.405</v>
      </c>
      <c r="K4" s="3" t="s">
        <v>16</v>
      </c>
      <c r="L4" s="3" t="s">
        <v>17</v>
      </c>
    </row>
    <row r="5" customFormat="false" ht="15" hidden="false" customHeight="false" outlineLevel="0" collapsed="false">
      <c r="A5" s="3" t="s">
        <v>13</v>
      </c>
      <c r="B5" s="3" t="s">
        <v>14</v>
      </c>
      <c r="C5" s="4" t="s">
        <v>15</v>
      </c>
      <c r="D5" s="5"/>
      <c r="E5" s="5"/>
      <c r="F5" s="6"/>
      <c r="G5" s="6"/>
      <c r="H5" s="6" t="n">
        <v>1654</v>
      </c>
      <c r="I5" s="6" t="n">
        <v>83</v>
      </c>
      <c r="J5" s="5" t="n">
        <f aca="false">H5/$F$4</f>
        <v>3.41030927835052</v>
      </c>
      <c r="K5" s="3" t="s">
        <v>18</v>
      </c>
      <c r="L5" s="3" t="s">
        <v>19</v>
      </c>
    </row>
    <row r="6" customFormat="false" ht="15" hidden="false" customHeight="false" outlineLevel="0" collapsed="false">
      <c r="A6" s="3" t="s">
        <v>20</v>
      </c>
      <c r="B6" s="3" t="s">
        <v>21</v>
      </c>
      <c r="C6" s="4" t="s">
        <v>15</v>
      </c>
      <c r="D6" s="5"/>
      <c r="E6" s="5"/>
      <c r="F6" s="6"/>
      <c r="G6" s="6"/>
      <c r="H6" s="6" t="n">
        <v>2272</v>
      </c>
      <c r="I6" s="6" t="n">
        <v>115</v>
      </c>
      <c r="J6" s="5" t="n">
        <f aca="false">H6/$F$4</f>
        <v>4.68453608247423</v>
      </c>
      <c r="K6" s="3" t="s">
        <v>18</v>
      </c>
      <c r="L6" s="3" t="s">
        <v>19</v>
      </c>
    </row>
    <row r="7" customFormat="false" ht="15" hidden="false" customHeight="false" outlineLevel="0" collapsed="false">
      <c r="A7" s="7" t="s">
        <v>22</v>
      </c>
      <c r="B7" s="8" t="s">
        <v>23</v>
      </c>
      <c r="C7" s="9" t="s">
        <v>24</v>
      </c>
      <c r="D7" s="10"/>
      <c r="E7" s="10"/>
      <c r="F7" s="11"/>
      <c r="G7" s="11"/>
      <c r="H7" s="11" t="n">
        <v>2940</v>
      </c>
      <c r="I7" s="11" t="n">
        <v>165</v>
      </c>
      <c r="J7" s="10" t="n">
        <f aca="false">H7/$F$4</f>
        <v>6.06185567010309</v>
      </c>
      <c r="K7" s="8" t="s">
        <v>18</v>
      </c>
      <c r="L7" s="8" t="s">
        <v>19</v>
      </c>
    </row>
    <row r="9" customFormat="false" ht="15" hidden="false" customHeight="false" outlineLevel="0" collapsed="false">
      <c r="A9" s="12" t="s">
        <v>25</v>
      </c>
    </row>
    <row r="10" customFormat="false" ht="15" hidden="false" customHeight="false" outlineLevel="0" collapsed="false">
      <c r="A10" s="13" t="s">
        <v>26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customFormat="false" ht="15" hidden="false" customHeight="false" outlineLevel="0" collapsed="false">
      <c r="A11" s="13" t="s">
        <v>27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customFormat="false" ht="15" hidden="false" customHeight="false" outlineLevel="0" collapsed="false">
      <c r="A12" s="13" t="s">
        <v>28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customFormat="false" ht="15" hidden="false" customHeight="false" outlineLevel="0" collapsed="false">
      <c r="A13" s="13" t="s">
        <v>29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customFormat="false" ht="15" hidden="false" customHeight="false" outlineLevel="0" collapsed="false">
      <c r="A14" s="13" t="s">
        <v>30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</sheetData>
  <mergeCells count="6">
    <mergeCell ref="A1:L1"/>
    <mergeCell ref="A10:L10"/>
    <mergeCell ref="A11:L11"/>
    <mergeCell ref="A12:L12"/>
    <mergeCell ref="A13:L13"/>
    <mergeCell ref="A14:L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8"/>
    <col collapsed="false" customWidth="true" hidden="false" outlineLevel="0" max="3" min="3" style="0" width="20"/>
  </cols>
  <sheetData>
    <row r="1" customFormat="false" ht="24" hidden="false" customHeight="true" outlineLevel="0" collapsed="false">
      <c r="A1" s="1" t="s">
        <v>31</v>
      </c>
      <c r="B1" s="1"/>
      <c r="C1" s="1"/>
    </row>
    <row r="3" customFormat="false" ht="15" hidden="false" customHeight="false" outlineLevel="0" collapsed="false">
      <c r="A3" s="2" t="s">
        <v>32</v>
      </c>
      <c r="B3" s="2" t="s">
        <v>33</v>
      </c>
      <c r="C3" s="2" t="s">
        <v>34</v>
      </c>
    </row>
    <row r="4" customFormat="false" ht="15" hidden="false" customHeight="false" outlineLevel="0" collapsed="false">
      <c r="A4" s="14" t="s">
        <v>35</v>
      </c>
      <c r="B4" s="15" t="s">
        <v>36</v>
      </c>
      <c r="C4" s="3"/>
    </row>
    <row r="5" customFormat="false" ht="15" hidden="false" customHeight="false" outlineLevel="0" collapsed="false">
      <c r="A5" s="3" t="s">
        <v>37</v>
      </c>
      <c r="B5" s="15" t="s">
        <v>38</v>
      </c>
      <c r="C5" s="16" t="n">
        <v>-2.44124932144789</v>
      </c>
    </row>
    <row r="6" customFormat="false" ht="15" hidden="false" customHeight="false" outlineLevel="0" collapsed="false">
      <c r="A6" s="3" t="s">
        <v>39</v>
      </c>
      <c r="B6" s="15" t="s">
        <v>40</v>
      </c>
      <c r="C6" s="16" t="n">
        <v>-2.4092737202321</v>
      </c>
    </row>
    <row r="7" customFormat="false" ht="15" hidden="false" customHeight="false" outlineLevel="0" collapsed="false">
      <c r="A7" s="3" t="s">
        <v>41</v>
      </c>
      <c r="B7" s="15" t="s">
        <v>42</v>
      </c>
      <c r="C7" s="16" t="n">
        <v>-2.3772981190163</v>
      </c>
    </row>
    <row r="8" customFormat="false" ht="15" hidden="false" customHeight="false" outlineLevel="0" collapsed="false">
      <c r="A8" s="3" t="s">
        <v>43</v>
      </c>
      <c r="B8" s="15" t="s">
        <v>44</v>
      </c>
      <c r="C8" s="16" t="n">
        <v>0.0639512024315933</v>
      </c>
    </row>
    <row r="9" customFormat="false" ht="15" hidden="false" customHeight="false" outlineLevel="0" collapsed="false">
      <c r="A9" s="3" t="s">
        <v>45</v>
      </c>
      <c r="B9" s="15" t="s">
        <v>46</v>
      </c>
      <c r="C9" s="16" t="n">
        <v>-0.203437443453991</v>
      </c>
    </row>
    <row r="10" customFormat="false" ht="15" hidden="false" customHeight="false" outlineLevel="0" collapsed="false">
      <c r="A10" s="3" t="s">
        <v>47</v>
      </c>
      <c r="B10" s="15" t="s">
        <v>48</v>
      </c>
      <c r="C10" s="16" t="n">
        <v>-0.199440493302016</v>
      </c>
    </row>
    <row r="11" customFormat="false" ht="15" hidden="false" customHeight="false" outlineLevel="0" collapsed="false">
      <c r="A11" s="3" t="s">
        <v>49</v>
      </c>
      <c r="B11" s="15" t="s">
        <v>50</v>
      </c>
      <c r="C11" s="16" t="n">
        <v>-0.00399695015197458</v>
      </c>
    </row>
    <row r="12" customFormat="false" ht="15" hidden="false" customHeight="false" outlineLevel="0" collapsed="false">
      <c r="A12" s="3" t="s">
        <v>51</v>
      </c>
      <c r="B12" s="15" t="s">
        <v>52</v>
      </c>
      <c r="C12" s="16" t="n">
        <v>0.104166666666667</v>
      </c>
    </row>
    <row r="13" customFormat="false" ht="15" hidden="false" customHeight="false" outlineLevel="0" collapsed="false">
      <c r="A13" s="3" t="s">
        <v>53</v>
      </c>
      <c r="B13" s="15" t="s">
        <v>44</v>
      </c>
      <c r="C13" s="16" t="n">
        <v>0.0639512024315933</v>
      </c>
    </row>
    <row r="14" customFormat="false" ht="15" hidden="false" customHeight="false" outlineLevel="0" collapsed="false">
      <c r="A14" s="3" t="s">
        <v>54</v>
      </c>
      <c r="B14" s="15" t="s">
        <v>55</v>
      </c>
      <c r="C14" s="16" t="n">
        <v>0.48</v>
      </c>
    </row>
    <row r="16" customFormat="false" ht="15" hidden="false" customHeight="false" outlineLevel="0" collapsed="false">
      <c r="A16" s="12" t="s">
        <v>56</v>
      </c>
    </row>
    <row r="17" customFormat="false" ht="15" hidden="false" customHeight="false" outlineLevel="0" collapsed="false">
      <c r="A17" s="2" t="s">
        <v>57</v>
      </c>
      <c r="B17" s="2" t="s">
        <v>58</v>
      </c>
      <c r="C17" s="2" t="s">
        <v>59</v>
      </c>
    </row>
    <row r="18" customFormat="false" ht="15" hidden="false" customHeight="false" outlineLevel="0" collapsed="false">
      <c r="A18" s="17" t="s">
        <v>60</v>
      </c>
      <c r="B18" s="17" t="s">
        <v>61</v>
      </c>
      <c r="C18" s="18" t="s">
        <v>62</v>
      </c>
    </row>
    <row r="19" customFormat="false" ht="15" hidden="false" customHeight="false" outlineLevel="0" collapsed="false">
      <c r="A19" s="17" t="s">
        <v>63</v>
      </c>
      <c r="B19" s="17" t="s">
        <v>64</v>
      </c>
      <c r="C19" s="18" t="s">
        <v>62</v>
      </c>
    </row>
    <row r="20" customFormat="false" ht="15" hidden="false" customHeight="false" outlineLevel="0" collapsed="false">
      <c r="A20" s="17" t="s">
        <v>65</v>
      </c>
      <c r="B20" s="17" t="s">
        <v>66</v>
      </c>
      <c r="C20" s="18" t="s">
        <v>67</v>
      </c>
    </row>
    <row r="21" customFormat="false" ht="15" hidden="false" customHeight="false" outlineLevel="0" collapsed="false">
      <c r="A21" s="17" t="s">
        <v>68</v>
      </c>
      <c r="B21" s="17" t="s">
        <v>69</v>
      </c>
      <c r="C21" s="18" t="s">
        <v>70</v>
      </c>
    </row>
    <row r="22" customFormat="false" ht="15" hidden="false" customHeight="false" outlineLevel="0" collapsed="false">
      <c r="A22" s="17" t="s">
        <v>71</v>
      </c>
      <c r="B22" s="17" t="s">
        <v>72</v>
      </c>
      <c r="C22" s="18" t="s">
        <v>70</v>
      </c>
    </row>
    <row r="23" customFormat="false" ht="15" hidden="false" customHeight="false" outlineLevel="0" collapsed="false">
      <c r="A23" s="17" t="s">
        <v>73</v>
      </c>
      <c r="B23" s="17" t="s">
        <v>74</v>
      </c>
      <c r="C23" s="18" t="s">
        <v>67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2"/>
    <col collapsed="false" customWidth="true" hidden="false" outlineLevel="0" max="3" min="3" style="0" width="30"/>
    <col collapsed="false" customWidth="true" hidden="false" outlineLevel="0" max="4" min="4" style="0" width="22"/>
  </cols>
  <sheetData>
    <row r="1" customFormat="false" ht="24" hidden="false" customHeight="true" outlineLevel="0" collapsed="false">
      <c r="A1" s="1" t="s">
        <v>75</v>
      </c>
      <c r="B1" s="1"/>
      <c r="C1" s="1"/>
      <c r="D1" s="1"/>
    </row>
    <row r="3" customFormat="false" ht="15" hidden="false" customHeight="false" outlineLevel="0" collapsed="false">
      <c r="A3" s="2" t="s">
        <v>76</v>
      </c>
      <c r="B3" s="2" t="s">
        <v>77</v>
      </c>
      <c r="C3" s="2" t="s">
        <v>78</v>
      </c>
      <c r="D3" s="2" t="s">
        <v>79</v>
      </c>
    </row>
    <row r="4" customFormat="false" ht="26.85" hidden="false" customHeight="false" outlineLevel="0" collapsed="false">
      <c r="A4" s="15" t="s">
        <v>80</v>
      </c>
      <c r="B4" s="15" t="s">
        <v>81</v>
      </c>
      <c r="C4" s="15" t="s">
        <v>82</v>
      </c>
      <c r="D4" s="15" t="s">
        <v>83</v>
      </c>
    </row>
    <row r="5" customFormat="false" ht="26.85" hidden="false" customHeight="false" outlineLevel="0" collapsed="false">
      <c r="A5" s="15" t="s">
        <v>84</v>
      </c>
      <c r="B5" s="15" t="s">
        <v>85</v>
      </c>
      <c r="C5" s="15" t="s">
        <v>86</v>
      </c>
      <c r="D5" s="15" t="s">
        <v>87</v>
      </c>
    </row>
    <row r="6" customFormat="false" ht="26.85" hidden="false" customHeight="false" outlineLevel="0" collapsed="false">
      <c r="A6" s="15" t="s">
        <v>88</v>
      </c>
      <c r="B6" s="15" t="s">
        <v>89</v>
      </c>
      <c r="C6" s="15" t="s">
        <v>90</v>
      </c>
      <c r="D6" s="15" t="s">
        <v>91</v>
      </c>
    </row>
    <row r="7" customFormat="false" ht="15" hidden="false" customHeight="false" outlineLevel="0" collapsed="false">
      <c r="A7" s="15" t="s">
        <v>92</v>
      </c>
      <c r="B7" s="15" t="s">
        <v>93</v>
      </c>
      <c r="C7" s="15" t="s">
        <v>94</v>
      </c>
      <c r="D7" s="15" t="s">
        <v>91</v>
      </c>
    </row>
    <row r="8" customFormat="false" ht="15" hidden="false" customHeight="false" outlineLevel="0" collapsed="false">
      <c r="A8" s="15" t="s">
        <v>95</v>
      </c>
      <c r="B8" s="15" t="s">
        <v>96</v>
      </c>
      <c r="C8" s="15" t="s">
        <v>97</v>
      </c>
      <c r="D8" s="15" t="s">
        <v>98</v>
      </c>
    </row>
    <row r="9" customFormat="false" ht="26.85" hidden="false" customHeight="false" outlineLevel="0" collapsed="false">
      <c r="A9" s="15" t="s">
        <v>99</v>
      </c>
      <c r="B9" s="15" t="s">
        <v>100</v>
      </c>
      <c r="C9" s="15" t="s">
        <v>101</v>
      </c>
      <c r="D9" s="15" t="s">
        <v>98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2026-06-13T18:02:29Z</dcterms:created>
  <dc:creator>openpyxl</dc:creator>
  <dc:description/>
  <dc:language>en-US</dc:language>
  <cp:lastModifiedBy/>
  <dcterms:modified xsi:type="dcterms:W3CDTF">2026-06-13T18:02:29Z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