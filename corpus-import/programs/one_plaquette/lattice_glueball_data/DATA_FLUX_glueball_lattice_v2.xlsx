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ueball masses" sheetId="1" state="visible" r:id="rId3"/>
    <sheet name="AT continuum (J^PC)" sheetId="2" state="visible" r:id="rId4"/>
    <sheet name="O(y4) verification" sheetId="3" state="visible" r:id="rId5"/>
    <sheet name="Sources &amp; access" sheetId="4" state="visible" r:id="rId6"/>
    <sheet name="Band structure &amp; predic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<sst xmlns="http://schemas.openxmlformats.org/spreadsheetml/2006/main" count="276" uniqueCount="201">
  <si>
    <t xml:space="preserve">SU(3) glueball masses relevant to the O(y⁴) C-odd flat-band work (curated 2026-06-13)</t>
  </si>
  <si>
    <t xml:space="preserve">J^PC</t>
  </si>
  <si>
    <t xml:space="preserve">Cubic rep</t>
  </si>
  <si>
    <t xml:space="preserve">C</t>
  </si>
  <si>
    <t xml:space="preserve">M/√σ</t>
  </si>
  <si>
    <t xml:space="preserve">± (M/√σ)</t>
  </si>
  <si>
    <t xml:space="preserve">√σ [MeV]</t>
  </si>
  <si>
    <t xml:space="preserve">± √σ</t>
  </si>
  <si>
    <t xml:space="preserve">Mass [MeV]</t>
  </si>
  <si>
    <t xml:space="preserve">± Mass</t>
  </si>
  <si>
    <t xml:space="preserve">M/√σ implied (÷√σ)</t>
  </si>
  <si>
    <t xml:space="preserve">Method</t>
  </si>
  <si>
    <t xml:space="preserve">Source (arXiv)</t>
  </si>
  <si>
    <t xml:space="preserve">0++</t>
  </si>
  <si>
    <t xml:space="preserve">A1++</t>
  </si>
  <si>
    <t xml:space="preserve">+</t>
  </si>
  <si>
    <t xml:space="preserve">Euclidean lattice → continuum</t>
  </si>
  <si>
    <t xml:space="preserve">2007.06422 (Athenodorou–Teper)</t>
  </si>
  <si>
    <t xml:space="preserve">Monte Carlo, Kogut–Susskind Hamiltonian limit</t>
  </si>
  <si>
    <t xml:space="preserve">hep-lat/0503038</t>
  </si>
  <si>
    <t xml:space="preserve">2++</t>
  </si>
  <si>
    <t xml:space="preserve">E++/T2++</t>
  </si>
  <si>
    <t xml:space="preserve">1+-</t>
  </si>
  <si>
    <t xml:space="preserve">T1+-</t>
  </si>
  <si>
    <t xml:space="preserve">−</t>
  </si>
  <si>
    <t xml:space="preserve">Notes:</t>
  </si>
  <si>
    <t xml:space="preserve">• 1+- (T1+-) is the C-odd glueball whose one-flux band our O(y⁴) result describes (flat through O(y³), lifts at O(y⁴)).</t>
  </si>
  <si>
    <t xml:space="preserve">• Mass[MeV] and ±Mass for the AT 0++ row are Excel formulas: M = (M/√σ)·√σ with errors added in quadrature. Edit √σ (F4) to rescale.</t>
  </si>
  <si>
    <t xml:space="preserve">• "M/√σ implied" divides each mass by the AT scale √σ=485 MeV ($F$4): Hamiltonian-limit 0++ → 3.41 vs AT 3.405 ⇒ formalisms agree.</t>
  </si>
  <si>
    <t xml:space="preserve">• Hamiltonian-limit masses are verbatim from hep-lat/0503038 (same Kogut–Susskind formalism as our work).</t>
  </si>
  <si>
    <t xml:space="preserve">• Full AT continuum tower (all R^{PC}; Tables 14/15/17/18) is past the fetch limit — not transcribed here to avoid fabricated numbers.</t>
  </si>
  <si>
    <t xml:space="preserve">Athenodorou–Teper continuum glueball spectrum by J^PC (arXiv:2007.06422, Tables 17 &amp; 18) — verbatim</t>
  </si>
  <si>
    <t xml:space="preserve">level</t>
  </si>
  <si>
    <t xml:space="preserve">M/√σ (Table 17)</t>
  </si>
  <si>
    <t xml:space="preserve">M [GeV] (Table 18)</t>
  </si>
  <si>
    <t xml:space="preserve">fit/spin flag</t>
  </si>
  <si>
    <t xml:space="preserve">gs</t>
  </si>
  <si>
    <t xml:space="preserve">3.405(21)</t>
  </si>
  <si>
    <t xml:space="preserve">1.653(26)</t>
  </si>
  <si>
    <t xml:space="preserve">excited</t>
  </si>
  <si>
    <t xml:space="preserve">5.855(41)</t>
  </si>
  <si>
    <t xml:space="preserve">2.842(40)</t>
  </si>
  <si>
    <t xml:space="preserve">0-+</t>
  </si>
  <si>
    <t xml:space="preserve">5.276(45)</t>
  </si>
  <si>
    <t xml:space="preserve">2.561(40)</t>
  </si>
  <si>
    <t xml:space="preserve">7.29(13)</t>
  </si>
  <si>
    <t xml:space="preserve">3.54(8)</t>
  </si>
  <si>
    <t xml:space="preserve">4.894(22)</t>
  </si>
  <si>
    <t xml:space="preserve">2.376(32)</t>
  </si>
  <si>
    <t xml:space="preserve">6.788(40)</t>
  </si>
  <si>
    <t xml:space="preserve">3.30(5)</t>
  </si>
  <si>
    <t xml:space="preserve">2-+</t>
  </si>
  <si>
    <t xml:space="preserve">6.32(9)</t>
  </si>
  <si>
    <t xml:space="preserve">3.07(6)</t>
  </si>
  <si>
    <t xml:space="preserve">8.18(8)</t>
  </si>
  <si>
    <t xml:space="preserve">3.97(7)</t>
  </si>
  <si>
    <t xml:space="preserve">1-+</t>
  </si>
  <si>
    <t xml:space="preserve">8.48(12)</t>
  </si>
  <si>
    <t xml:space="preserve">4.12(8)</t>
  </si>
  <si>
    <t xml:space="preserve">excited-1</t>
  </si>
  <si>
    <t xml:space="preserve">8.57(13)</t>
  </si>
  <si>
    <t xml:space="preserve">4.16(8)</t>
  </si>
  <si>
    <t xml:space="preserve">*</t>
  </si>
  <si>
    <t xml:space="preserve">excited-2</t>
  </si>
  <si>
    <t xml:space="preserve">8.66(15)</t>
  </si>
  <si>
    <t xml:space="preserve">4.20(9)</t>
  </si>
  <si>
    <t xml:space="preserve">3++</t>
  </si>
  <si>
    <t xml:space="preserve">7.71(9)</t>
  </si>
  <si>
    <t xml:space="preserve">3.74(7)</t>
  </si>
  <si>
    <t xml:space="preserve">4++</t>
  </si>
  <si>
    <t xml:space="preserve">7.60(12)</t>
  </si>
  <si>
    <t xml:space="preserve">3.69(8)</t>
  </si>
  <si>
    <t xml:space="preserve">-</t>
  </si>
  <si>
    <t xml:space="preserve">6.065(40)</t>
  </si>
  <si>
    <t xml:space="preserve">2.944(42)</t>
  </si>
  <si>
    <t xml:space="preserve">7.82(6)</t>
  </si>
  <si>
    <t xml:space="preserve">3.80(6)</t>
  </si>
  <si>
    <t xml:space="preserve">2+-</t>
  </si>
  <si>
    <t xml:space="preserve">8.74(12)</t>
  </si>
  <si>
    <t xml:space="preserve">4.24(8)</t>
  </si>
  <si>
    <t xml:space="preserve">3+-</t>
  </si>
  <si>
    <t xml:space="preserve">7.27(12)</t>
  </si>
  <si>
    <t xml:space="preserve">3.53(8)</t>
  </si>
  <si>
    <t xml:space="preserve">4+-</t>
  </si>
  <si>
    <t xml:space="preserve">9.02(10)</t>
  </si>
  <si>
    <t xml:space="preserve">4.38(8)</t>
  </si>
  <si>
    <t xml:space="preserve">**</t>
  </si>
  <si>
    <t xml:space="preserve">1--</t>
  </si>
  <si>
    <t xml:space="preserve">8.31(10)</t>
  </si>
  <si>
    <t xml:space="preserve">4.03(7)</t>
  </si>
  <si>
    <t xml:space="preserve">2--</t>
  </si>
  <si>
    <t xml:space="preserve">8.08(15)</t>
  </si>
  <si>
    <t xml:space="preserve">3.92(9)</t>
  </si>
  <si>
    <t xml:space="preserve">Verbatim from arXiv:2007.06422 (Athenodorou–Teper, JHEP 11(2020)172), Table 17 (M/√σ) and Table 18 (GeV).</t>
  </si>
  <si>
    <t xml:space="preserve">C-odd rows (C=−) highlighted — the sector of the O(y⁴) flat-band work. 1+- ground state 2.944(42) GeV ≡ Hamiltonian-limit 2940(165) MeV.</t>
  </si>
  <si>
    <t xml:space="preserve">Scale used by AT for GeV: √σ = 485(6) MeV, r0 = 0.472(5) fm, r0√σ = 1.160(6). Check: 3.405×0.485 = 1.651 ≈ 1.653.</t>
  </si>
  <si>
    <t xml:space="preserve">Flags: * = poor continuum fit and/or hesitant spin assignment; ** = speculative spin. J=1 C=+ tower is the three lowest T1-+ (1-+).</t>
  </si>
  <si>
    <t xml:space="preserve">gs = ground state; excited = next state in that R^{PC} tower.</t>
  </si>
  <si>
    <t xml:space="preserve">SU(3) O(y⁴) C-odd flat-band — verified result (independent re-derivation)</t>
  </si>
  <si>
    <t xml:space="preserve">Quantity</t>
  </si>
  <si>
    <t xml:space="preserve">Exact value (rational / text)</t>
  </si>
  <si>
    <t xml:space="preserve">Decimal</t>
  </si>
  <si>
    <t xml:space="preserve">Verdict</t>
  </si>
  <si>
    <t xml:space="preserve">LIFT — flat through O(y³), disperses at O(y⁴)</t>
  </si>
  <si>
    <t xml:space="preserve">c4(π,0,0)</t>
  </si>
  <si>
    <t xml:space="preserve">-17700498622147435111/7250590288602460800</t>
  </si>
  <si>
    <t xml:space="preserve">c4(π,π,0)</t>
  </si>
  <si>
    <t xml:space="preserve">-4367164159624988707/1812647572150615200</t>
  </si>
  <si>
    <t xml:space="preserve">c4(π,π,π)</t>
  </si>
  <si>
    <t xml:space="preserve">-3447362930970494909/1450118057720492160</t>
  </si>
  <si>
    <t xml:space="preserve">Dispersion witness  c4(π,π,π)−c4(π,0,0)</t>
  </si>
  <si>
    <t xml:space="preserve">17607806155349/275331901291200</t>
  </si>
  <si>
    <t xml:space="preserve">Wp (parity)</t>
  </si>
  <si>
    <t xml:space="preserve">-17700498622147435111/87007083463229529600</t>
  </si>
  <si>
    <t xml:space="preserve">Wc (parity)</t>
  </si>
  <si>
    <t xml:space="preserve">-34705471293352429373/174014166926459059200</t>
  </si>
  <si>
    <t xml:space="preserve">Wp − Wc</t>
  </si>
  <si>
    <t xml:space="preserve">-17607806155349/4405310420659200</t>
  </si>
  <si>
    <t xml:space="preserve">Real-space cube residual (max leakage)</t>
  </si>
  <si>
    <t xml:space="preserve">5/48</t>
  </si>
  <si>
    <t xml:space="preserve">Bandwidth lower bound (parity witness)</t>
  </si>
  <si>
    <t xml:space="preserve">True BZ bandwidth (numeric)</t>
  </si>
  <si>
    <t xml:space="preserve">≈ 0.48 (min near Γ)</t>
  </si>
  <si>
    <t xml:space="preserve">Independent gates</t>
  </si>
  <si>
    <t xml:space="preserve">Gate</t>
  </si>
  <si>
    <t xml:space="preserve">Check</t>
  </si>
  <si>
    <t xml:space="preserve">Result</t>
  </si>
  <si>
    <t xml:space="preserve">G1</t>
  </si>
  <si>
    <t xml:space="preserve">3G Haar contraction reproduces all 2,798 Stage-3F amplitudes</t>
  </si>
  <si>
    <t xml:space="preserve">PASS (exact)</t>
  </si>
  <si>
    <t xml:space="preserve">G2</t>
  </si>
  <si>
    <t xml:space="preserve">des-Cloizeaux folded identity vs brute-force 4th-order PT</t>
  </si>
  <si>
    <t xml:space="preserve">G3</t>
  </si>
  <si>
    <t xml:space="preserve">189-entry H4 kernel exactly Hermitian</t>
  </si>
  <si>
    <t xml:space="preserve">PASS</t>
  </si>
  <si>
    <t xml:space="preserve">G4</t>
  </si>
  <si>
    <t xml:space="preserve">parity-momentum corrections match theorem; witness ≠ 0</t>
  </si>
  <si>
    <t xml:space="preserve">PASS — LIFT</t>
  </si>
  <si>
    <t xml:space="preserve">G5</t>
  </si>
  <si>
    <t xml:space="preserve">real-space cube residual: max 5/48 on 6 plaquettes</t>
  </si>
  <si>
    <t xml:space="preserve">Rep</t>
  </si>
  <si>
    <t xml:space="preserve">SU(3) fusion dictionary: Schur vs LR (100 products, 10 anchors)</t>
  </si>
  <si>
    <t xml:space="preserve">Sources &amp; raw-config access</t>
  </si>
  <si>
    <t xml:space="preserve">Reference</t>
  </si>
  <si>
    <t xml:space="preserve">What it provides</t>
  </si>
  <si>
    <t xml:space="preserve">arXiv / URL</t>
  </si>
  <si>
    <t xml:space="preserve">Type</t>
  </si>
  <si>
    <t xml:space="preserve">Athenodorou &amp; Teper, JHEP 11(2020)172</t>
  </si>
  <si>
    <t xml:space="preserve">Continuum SU(3) glueball spectrum, all R^{PC}; 0++ ratio + scale</t>
  </si>
  <si>
    <t xml:space="preserve">arxiv.org/abs/2007.06422</t>
  </si>
  <si>
    <t xml:space="preserve">spectrum</t>
  </si>
  <si>
    <t xml:space="preserve">MC glueball masses, Hamiltonian limit of SU(3)</t>
  </si>
  <si>
    <t xml:space="preserve">0++,2++,1+- masses; same Kogut–Susskind formalism</t>
  </si>
  <si>
    <t xml:space="preserve">arxiv.org/abs/hep-lat/0503038</t>
  </si>
  <si>
    <t xml:space="preserve">spectrum (Hamiltonian)</t>
  </si>
  <si>
    <t xml:space="preserve">Pavel (2016/2021)</t>
  </si>
  <si>
    <t xml:space="preserve">SU(3) YM Hamiltonian, strong-coupling expansion in λ=g^(-2/3)</t>
  </si>
  <si>
    <t xml:space="preserve">arxiv.org/abs/1611.06542</t>
  </si>
  <si>
    <t xml:space="preserve">strong-coupling series</t>
  </si>
  <si>
    <t xml:space="preserve">YM Hamiltonian in spatial derivatives</t>
  </si>
  <si>
    <t xml:space="preserve">Glueball spectrum from derivative expansion</t>
  </si>
  <si>
    <t xml:space="preserve">arxiv.org/abs/0912.5465</t>
  </si>
  <si>
    <t xml:space="preserve">ILDG — International Lattice Data Grid</t>
  </si>
  <si>
    <t xml:space="preserve">Catalogue of SU(3) gauge ensembles (ILDG format)</t>
  </si>
  <si>
    <t xml:space="preserve">hpc.desy.de/ildg/</t>
  </si>
  <si>
    <t xml:space="preserve">raw configs (portal)</t>
  </si>
  <si>
    <t xml:space="preserve">OpenLat (Open Lattice Initiative)</t>
  </si>
  <si>
    <t xml:space="preserve">Nf=2+1 SWF ensembles, ILDG-compatible, public post-publication</t>
  </si>
  <si>
    <t xml:space="preserve">arxiv.org/abs/2212.07314</t>
  </si>
  <si>
    <t xml:space="preserve">O(y⁴) 1⁺⁻ band structure (from verified kernel) + falsifiable lattice prediction</t>
  </si>
  <si>
    <t xml:space="preserve">Exact / value</t>
  </si>
  <si>
    <t xml:space="preserve">Grounds</t>
  </si>
  <si>
    <t xml:space="preserve">c4(Γ) band minimum (k=0)</t>
  </si>
  <si>
    <t xml:space="preserve">-20721577909065127111/7250590288602460800</t>
  </si>
  <si>
    <t xml:space="preserve">derived-exact</t>
  </si>
  <si>
    <t xml:space="preserve">c4(R) band maximum (π,π,π)</t>
  </si>
  <si>
    <t xml:space="preserve">verified</t>
  </si>
  <si>
    <t xml:space="preserve">Exact O(y⁴) bandwidth ΔW4</t>
  </si>
  <si>
    <t xml:space="preserve">132329431693349/275331901291200</t>
  </si>
  <si>
    <t xml:space="preserve">(parity witness, lower bound only)</t>
  </si>
  <si>
    <t xml:space="preserve">ΔW4 / parity-witness</t>
  </si>
  <si>
    <t xml:space="preserve">7.5×</t>
  </si>
  <si>
    <t xml:space="preserve">derived</t>
  </si>
  <si>
    <t xml:space="preserve">H4(0) = c4(Γ)·I (off-diag blocks sum to 0)</t>
  </si>
  <si>
    <t xml:space="preserve">yes</t>
  </si>
  <si>
    <t xml:space="preserve">Band-bottom curvature at Γ (isotropic)</t>
  </si>
  <si>
    <t xml:space="preserve">+0.104</t>
  </si>
  <si>
    <t xml:space="preserve">Band-top curvature at R (isotropic)</t>
  </si>
  <si>
    <t xml:space="preserve">-0.036</t>
  </si>
  <si>
    <t xml:space="preserve">Fractional bandwidth (leading)</t>
  </si>
  <si>
    <t xml:space="preserve">ΔW4·y⁴ / (8/3 + y + …)</t>
  </si>
  <si>
    <t xml:space="preserve">≈0.180·y⁴</t>
  </si>
  <si>
    <t xml:space="preserve">Lattice anchor m(1⁺⁻)</t>
  </si>
  <si>
    <t xml:space="preserve">2.944(42) GeV ≡ 2940(165) MeV</t>
  </si>
  <si>
    <t xml:space="preserve">data (verbatim)</t>
  </si>
  <si>
    <t xml:space="preserve">Falsifiable strong-coupling prediction (no free parameters):</t>
  </si>
  <si>
    <t xml:space="preserve">• band min at Γ, max at R=(π,π,π); flat through O(y³), first dispersing at O(y⁴)</t>
  </si>
  <si>
    <t xml:space="preserve">• total bandwidth 0.48062·y⁴ (lattice units); fractional ≈0.180·y⁴</t>
  </si>
  <si>
    <t xml:space="preserve">• isotropic at Γ; bottom curvature +0.104·y⁴, top curvature −0.036·y⁴</t>
  </si>
  <si>
    <t xml:space="preserve">• X and M are interior points, NOT band extrema (see y4_1pm_band_structure.png)</t>
  </si>
  <si>
    <t xml:space="preserve">Caveat: strong-coupling series is asymptotic — it does NOT predict the continuum 2.944 GeV.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</si>
</sst>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4"/>
    <col collapsed="false" customWidth="true" hidden="false" outlineLevel="0" max="4" min="4" style="1" width="8"/>
    <col collapsed="false" customWidth="true" hidden="false" outlineLevel="0" max="6" min="5" style="1" width="9"/>
    <col collapsed="false" customWidth="true" hidden="false" outlineLevel="0" max="7" min="7" style="1" width="8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6"/>
    <col collapsed="false" customWidth="true" hidden="false" outlineLevel="0" max="11" min="11" style="1" width="38"/>
    <col collapsed="false" customWidth="true" hidden="false" outlineLevel="0" max="12" min="12" style="1" width="2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6.2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customFormat="false" ht="15" hidden="false" customHeight="true" outlineLevel="0" collapsed="false">
      <c r="A4" s="4" t="s">
        <v>13</v>
      </c>
      <c r="B4" s="4" t="s">
        <v>14</v>
      </c>
      <c r="C4" s="5" t="s">
        <v>15</v>
      </c>
      <c r="D4" s="6" t="n">
        <v>3.405</v>
      </c>
      <c r="E4" s="6" t="n">
        <v>0.021</v>
      </c>
      <c r="F4" s="7" t="n">
        <v>485</v>
      </c>
      <c r="G4" s="7" t="n">
        <v>6</v>
      </c>
      <c r="H4" s="7" t="n">
        <f aca="false">D4*F4</f>
        <v>1651.425</v>
      </c>
      <c r="I4" s="7" t="n">
        <f aca="false">SQRT((E4/D4)^2+(G4/F4)^2)*H4</f>
        <v>22.8280337523844</v>
      </c>
      <c r="J4" s="6" t="n">
        <f aca="false">H4/$F$4</f>
        <v>3.405</v>
      </c>
      <c r="K4" s="4" t="s">
        <v>16</v>
      </c>
      <c r="L4" s="4" t="s">
        <v>17</v>
      </c>
    </row>
    <row r="5" customFormat="false" ht="15" hidden="false" customHeight="true" outlineLevel="0" collapsed="false">
      <c r="A5" s="4" t="s">
        <v>13</v>
      </c>
      <c r="B5" s="4" t="s">
        <v>14</v>
      </c>
      <c r="C5" s="5" t="s">
        <v>15</v>
      </c>
      <c r="D5" s="6"/>
      <c r="E5" s="6"/>
      <c r="F5" s="7"/>
      <c r="G5" s="7"/>
      <c r="H5" s="7" t="n">
        <v>1654</v>
      </c>
      <c r="I5" s="7" t="n">
        <v>83</v>
      </c>
      <c r="J5" s="6" t="n">
        <f aca="false">H5/$F$4</f>
        <v>3.41030927835052</v>
      </c>
      <c r="K5" s="4" t="s">
        <v>18</v>
      </c>
      <c r="L5" s="4" t="s">
        <v>19</v>
      </c>
    </row>
    <row r="6" customFormat="false" ht="15" hidden="false" customHeight="true" outlineLevel="0" collapsed="false">
      <c r="A6" s="4" t="s">
        <v>20</v>
      </c>
      <c r="B6" s="4" t="s">
        <v>21</v>
      </c>
      <c r="C6" s="5" t="s">
        <v>15</v>
      </c>
      <c r="D6" s="6"/>
      <c r="E6" s="6"/>
      <c r="F6" s="7"/>
      <c r="G6" s="7"/>
      <c r="H6" s="7" t="n">
        <v>2272</v>
      </c>
      <c r="I6" s="7" t="n">
        <v>115</v>
      </c>
      <c r="J6" s="6" t="n">
        <f aca="false">H6/$F$4</f>
        <v>4.68453608247423</v>
      </c>
      <c r="K6" s="4" t="s">
        <v>18</v>
      </c>
      <c r="L6" s="4" t="s">
        <v>19</v>
      </c>
    </row>
    <row r="7" customFormat="false" ht="15" hidden="false" customHeight="true" outlineLevel="0" collapsed="false">
      <c r="A7" s="8" t="s">
        <v>22</v>
      </c>
      <c r="B7" s="9" t="s">
        <v>23</v>
      </c>
      <c r="C7" s="10" t="s">
        <v>24</v>
      </c>
      <c r="D7" s="11"/>
      <c r="E7" s="11"/>
      <c r="F7" s="12"/>
      <c r="G7" s="12"/>
      <c r="H7" s="12" t="n">
        <v>2940</v>
      </c>
      <c r="I7" s="12" t="n">
        <v>165</v>
      </c>
      <c r="J7" s="11" t="n">
        <f aca="false">H7/$F$4</f>
        <v>6.06185567010309</v>
      </c>
      <c r="K7" s="9" t="s">
        <v>18</v>
      </c>
      <c r="L7" s="9" t="s">
        <v>19</v>
      </c>
    </row>
    <row r="9" customFormat="false" ht="15" hidden="false" customHeight="true" outlineLevel="0" collapsed="false">
      <c r="A9" s="13" t="s">
        <v>25</v>
      </c>
    </row>
    <row r="10" customFormat="false" ht="15" hidden="false" customHeight="true" outlineLevel="0" collapsed="false">
      <c r="A10" s="14" t="s">
        <v>26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5" hidden="false" customHeight="true" outlineLevel="0" collapsed="false">
      <c r="A11" s="14" t="s">
        <v>27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15" hidden="false" customHeight="true" outlineLevel="0" collapsed="false">
      <c r="A12" s="14" t="s">
        <v>28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15" hidden="false" customHeight="true" outlineLevel="0" collapsed="false">
      <c r="A13" s="14" t="s">
        <v>29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15" hidden="false" customHeight="true" outlineLevel="0" collapsed="false">
      <c r="A14" s="14" t="s">
        <v>30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</sheetData>
  <mergeCells count="6">
    <mergeCell ref="A1:L1"/>
    <mergeCell ref="A10:L10"/>
    <mergeCell ref="A11:L11"/>
    <mergeCell ref="A12:L12"/>
    <mergeCell ref="A13:L13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5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2"/>
  </cols>
  <sheetData>
    <row r="1" customFormat="false" ht="21.75" hidden="false" customHeight="true" outlineLevel="0" collapsed="false">
      <c r="A1" s="15" t="s">
        <v>31</v>
      </c>
      <c r="B1" s="15"/>
      <c r="C1" s="15"/>
      <c r="D1" s="15"/>
      <c r="E1" s="15"/>
      <c r="F1" s="15"/>
    </row>
    <row r="3" customFormat="false" ht="15" hidden="false" customHeight="true" outlineLevel="0" collapsed="false">
      <c r="A3" s="3" t="s">
        <v>1</v>
      </c>
      <c r="B3" s="3" t="s">
        <v>3</v>
      </c>
      <c r="C3" s="3" t="s">
        <v>32</v>
      </c>
      <c r="D3" s="3" t="s">
        <v>33</v>
      </c>
      <c r="E3" s="3" t="s">
        <v>34</v>
      </c>
      <c r="F3" s="3" t="s">
        <v>35</v>
      </c>
    </row>
    <row r="4" customFormat="false" ht="15" hidden="false" customHeight="true" outlineLevel="0" collapsed="false">
      <c r="A4" s="5" t="s">
        <v>13</v>
      </c>
      <c r="B4" s="5" t="s">
        <v>15</v>
      </c>
      <c r="C4" s="4" t="s">
        <v>36</v>
      </c>
      <c r="D4" s="5" t="s">
        <v>37</v>
      </c>
      <c r="E4" s="5" t="s">
        <v>38</v>
      </c>
      <c r="F4" s="5"/>
    </row>
    <row r="5" customFormat="false" ht="15" hidden="false" customHeight="true" outlineLevel="0" collapsed="false">
      <c r="A5" s="5" t="s">
        <v>13</v>
      </c>
      <c r="B5" s="5" t="s">
        <v>15</v>
      </c>
      <c r="C5" s="4" t="s">
        <v>39</v>
      </c>
      <c r="D5" s="5" t="s">
        <v>40</v>
      </c>
      <c r="E5" s="5" t="s">
        <v>41</v>
      </c>
      <c r="F5" s="5"/>
    </row>
    <row r="6" customFormat="false" ht="15" hidden="false" customHeight="true" outlineLevel="0" collapsed="false">
      <c r="A6" s="5" t="s">
        <v>42</v>
      </c>
      <c r="B6" s="5" t="s">
        <v>15</v>
      </c>
      <c r="C6" s="4" t="s">
        <v>36</v>
      </c>
      <c r="D6" s="5" t="s">
        <v>43</v>
      </c>
      <c r="E6" s="5" t="s">
        <v>44</v>
      </c>
      <c r="F6" s="5"/>
    </row>
    <row r="7" customFormat="false" ht="15" hidden="false" customHeight="true" outlineLevel="0" collapsed="false">
      <c r="A7" s="5" t="s">
        <v>42</v>
      </c>
      <c r="B7" s="5" t="s">
        <v>15</v>
      </c>
      <c r="C7" s="4" t="s">
        <v>39</v>
      </c>
      <c r="D7" s="5" t="s">
        <v>45</v>
      </c>
      <c r="E7" s="5" t="s">
        <v>46</v>
      </c>
      <c r="F7" s="5"/>
    </row>
    <row r="8" customFormat="false" ht="15" hidden="false" customHeight="true" outlineLevel="0" collapsed="false">
      <c r="A8" s="5" t="s">
        <v>20</v>
      </c>
      <c r="B8" s="5" t="s">
        <v>15</v>
      </c>
      <c r="C8" s="4" t="s">
        <v>36</v>
      </c>
      <c r="D8" s="5" t="s">
        <v>47</v>
      </c>
      <c r="E8" s="5" t="s">
        <v>48</v>
      </c>
      <c r="F8" s="5"/>
    </row>
    <row r="9" customFormat="false" ht="15" hidden="false" customHeight="true" outlineLevel="0" collapsed="false">
      <c r="A9" s="5" t="s">
        <v>20</v>
      </c>
      <c r="B9" s="5" t="s">
        <v>15</v>
      </c>
      <c r="C9" s="4" t="s">
        <v>39</v>
      </c>
      <c r="D9" s="5" t="s">
        <v>49</v>
      </c>
      <c r="E9" s="5" t="s">
        <v>50</v>
      </c>
      <c r="F9" s="5"/>
    </row>
    <row r="10" customFormat="false" ht="15" hidden="false" customHeight="true" outlineLevel="0" collapsed="false">
      <c r="A10" s="5" t="s">
        <v>51</v>
      </c>
      <c r="B10" s="5" t="s">
        <v>15</v>
      </c>
      <c r="C10" s="4" t="s">
        <v>36</v>
      </c>
      <c r="D10" s="5" t="s">
        <v>52</v>
      </c>
      <c r="E10" s="5" t="s">
        <v>53</v>
      </c>
      <c r="F10" s="5"/>
    </row>
    <row r="11" customFormat="false" ht="15" hidden="false" customHeight="true" outlineLevel="0" collapsed="false">
      <c r="A11" s="5" t="s">
        <v>51</v>
      </c>
      <c r="B11" s="5" t="s">
        <v>15</v>
      </c>
      <c r="C11" s="4" t="s">
        <v>39</v>
      </c>
      <c r="D11" s="5" t="s">
        <v>54</v>
      </c>
      <c r="E11" s="5" t="s">
        <v>55</v>
      </c>
      <c r="F11" s="5"/>
    </row>
    <row r="12" customFormat="false" ht="15" hidden="false" customHeight="true" outlineLevel="0" collapsed="false">
      <c r="A12" s="5" t="s">
        <v>56</v>
      </c>
      <c r="B12" s="5" t="s">
        <v>15</v>
      </c>
      <c r="C12" s="4" t="s">
        <v>36</v>
      </c>
      <c r="D12" s="5" t="s">
        <v>57</v>
      </c>
      <c r="E12" s="5" t="s">
        <v>58</v>
      </c>
      <c r="F12" s="5"/>
    </row>
    <row r="13" customFormat="false" ht="15" hidden="false" customHeight="true" outlineLevel="0" collapsed="false">
      <c r="A13" s="5" t="s">
        <v>56</v>
      </c>
      <c r="B13" s="5" t="s">
        <v>15</v>
      </c>
      <c r="C13" s="4" t="s">
        <v>59</v>
      </c>
      <c r="D13" s="5" t="s">
        <v>60</v>
      </c>
      <c r="E13" s="5" t="s">
        <v>61</v>
      </c>
      <c r="F13" s="5" t="s">
        <v>62</v>
      </c>
    </row>
    <row r="14" customFormat="false" ht="15" hidden="false" customHeight="true" outlineLevel="0" collapsed="false">
      <c r="A14" s="5" t="s">
        <v>56</v>
      </c>
      <c r="B14" s="5" t="s">
        <v>15</v>
      </c>
      <c r="C14" s="4" t="s">
        <v>63</v>
      </c>
      <c r="D14" s="5" t="s">
        <v>64</v>
      </c>
      <c r="E14" s="5" t="s">
        <v>65</v>
      </c>
      <c r="F14" s="5" t="s">
        <v>62</v>
      </c>
    </row>
    <row r="15" customFormat="false" ht="15" hidden="false" customHeight="true" outlineLevel="0" collapsed="false">
      <c r="A15" s="5" t="s">
        <v>66</v>
      </c>
      <c r="B15" s="5" t="s">
        <v>15</v>
      </c>
      <c r="C15" s="4" t="s">
        <v>36</v>
      </c>
      <c r="D15" s="5" t="s">
        <v>67</v>
      </c>
      <c r="E15" s="5" t="s">
        <v>68</v>
      </c>
      <c r="F15" s="5" t="s">
        <v>62</v>
      </c>
    </row>
    <row r="16" customFormat="false" ht="15" hidden="false" customHeight="true" outlineLevel="0" collapsed="false">
      <c r="A16" s="5" t="s">
        <v>69</v>
      </c>
      <c r="B16" s="5" t="s">
        <v>15</v>
      </c>
      <c r="C16" s="4" t="s">
        <v>36</v>
      </c>
      <c r="D16" s="5" t="s">
        <v>70</v>
      </c>
      <c r="E16" s="5" t="s">
        <v>71</v>
      </c>
      <c r="F16" s="5" t="s">
        <v>62</v>
      </c>
    </row>
    <row r="17" customFormat="false" ht="15" hidden="false" customHeight="true" outlineLevel="0" collapsed="false">
      <c r="A17" s="16" t="s">
        <v>22</v>
      </c>
      <c r="B17" s="16" t="s">
        <v>72</v>
      </c>
      <c r="C17" s="8" t="s">
        <v>36</v>
      </c>
      <c r="D17" s="16" t="s">
        <v>73</v>
      </c>
      <c r="E17" s="16" t="s">
        <v>74</v>
      </c>
      <c r="F17" s="16"/>
    </row>
    <row r="18" customFormat="false" ht="15" hidden="false" customHeight="true" outlineLevel="0" collapsed="false">
      <c r="A18" s="16" t="s">
        <v>22</v>
      </c>
      <c r="B18" s="16" t="s">
        <v>72</v>
      </c>
      <c r="C18" s="8" t="s">
        <v>39</v>
      </c>
      <c r="D18" s="16" t="s">
        <v>75</v>
      </c>
      <c r="E18" s="16" t="s">
        <v>76</v>
      </c>
      <c r="F18" s="16"/>
    </row>
    <row r="19" customFormat="false" ht="15" hidden="false" customHeight="true" outlineLevel="0" collapsed="false">
      <c r="A19" s="10" t="s">
        <v>77</v>
      </c>
      <c r="B19" s="10" t="s">
        <v>72</v>
      </c>
      <c r="C19" s="9" t="s">
        <v>36</v>
      </c>
      <c r="D19" s="10" t="s">
        <v>78</v>
      </c>
      <c r="E19" s="10" t="s">
        <v>79</v>
      </c>
      <c r="F19" s="10" t="s">
        <v>62</v>
      </c>
    </row>
    <row r="20" customFormat="false" ht="15" hidden="false" customHeight="true" outlineLevel="0" collapsed="false">
      <c r="A20" s="10" t="s">
        <v>80</v>
      </c>
      <c r="B20" s="10" t="s">
        <v>72</v>
      </c>
      <c r="C20" s="9" t="s">
        <v>36</v>
      </c>
      <c r="D20" s="10" t="s">
        <v>81</v>
      </c>
      <c r="E20" s="10" t="s">
        <v>82</v>
      </c>
      <c r="F20" s="10"/>
    </row>
    <row r="21" customFormat="false" ht="15" hidden="false" customHeight="true" outlineLevel="0" collapsed="false">
      <c r="A21" s="10" t="s">
        <v>83</v>
      </c>
      <c r="B21" s="10" t="s">
        <v>72</v>
      </c>
      <c r="C21" s="9" t="s">
        <v>36</v>
      </c>
      <c r="D21" s="10" t="s">
        <v>84</v>
      </c>
      <c r="E21" s="10" t="s">
        <v>85</v>
      </c>
      <c r="F21" s="10" t="s">
        <v>86</v>
      </c>
    </row>
    <row r="22" customFormat="false" ht="15" hidden="false" customHeight="true" outlineLevel="0" collapsed="false">
      <c r="A22" s="10" t="s">
        <v>87</v>
      </c>
      <c r="B22" s="10" t="s">
        <v>72</v>
      </c>
      <c r="C22" s="9" t="s">
        <v>36</v>
      </c>
      <c r="D22" s="10" t="s">
        <v>88</v>
      </c>
      <c r="E22" s="10" t="s">
        <v>89</v>
      </c>
      <c r="F22" s="10"/>
    </row>
    <row r="23" customFormat="false" ht="15" hidden="false" customHeight="true" outlineLevel="0" collapsed="false">
      <c r="A23" s="10" t="s">
        <v>90</v>
      </c>
      <c r="B23" s="10" t="s">
        <v>72</v>
      </c>
      <c r="C23" s="9" t="s">
        <v>36</v>
      </c>
      <c r="D23" s="10" t="s">
        <v>91</v>
      </c>
      <c r="E23" s="10" t="s">
        <v>92</v>
      </c>
      <c r="F23" s="10"/>
    </row>
    <row r="25" customFormat="false" ht="15" hidden="false" customHeight="true" outlineLevel="0" collapsed="false">
      <c r="A25" s="14" t="s">
        <v>93</v>
      </c>
      <c r="B25" s="14"/>
      <c r="C25" s="14"/>
      <c r="D25" s="14"/>
      <c r="E25" s="14"/>
      <c r="F25" s="14"/>
    </row>
    <row r="26" customFormat="false" ht="15" hidden="false" customHeight="true" outlineLevel="0" collapsed="false">
      <c r="A26" s="14" t="s">
        <v>94</v>
      </c>
      <c r="B26" s="14"/>
      <c r="C26" s="14"/>
      <c r="D26" s="14"/>
      <c r="E26" s="14"/>
      <c r="F26" s="14"/>
    </row>
    <row r="27" customFormat="false" ht="15" hidden="false" customHeight="true" outlineLevel="0" collapsed="false">
      <c r="A27" s="14" t="s">
        <v>95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4" t="s">
        <v>96</v>
      </c>
      <c r="B28" s="14"/>
      <c r="C28" s="14"/>
      <c r="D28" s="14"/>
      <c r="E28" s="14"/>
      <c r="F28" s="14"/>
    </row>
    <row r="29" customFormat="false" ht="15" hidden="false" customHeight="true" outlineLevel="0" collapsed="false">
      <c r="A29" s="14" t="s">
        <v>97</v>
      </c>
      <c r="B29" s="14"/>
      <c r="C29" s="14"/>
      <c r="D29" s="14"/>
      <c r="E29" s="14"/>
      <c r="F29" s="14"/>
    </row>
  </sheetData>
  <mergeCells count="6">
    <mergeCell ref="A1:F1"/>
    <mergeCell ref="A25:F25"/>
    <mergeCell ref="A26:F26"/>
    <mergeCell ref="A27:F27"/>
    <mergeCell ref="A28:F28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8"/>
    <col collapsed="false" customWidth="true" hidden="false" outlineLevel="0" max="3" min="3" style="1" width="20"/>
  </cols>
  <sheetData>
    <row r="1" customFormat="false" ht="24" hidden="false" customHeight="true" outlineLevel="0" collapsed="false">
      <c r="A1" s="2" t="s">
        <v>98</v>
      </c>
      <c r="B1" s="2"/>
      <c r="C1" s="2"/>
    </row>
    <row r="3" customFormat="false" ht="15" hidden="false" customHeight="true" outlineLevel="0" collapsed="false">
      <c r="A3" s="3" t="s">
        <v>99</v>
      </c>
      <c r="B3" s="3" t="s">
        <v>100</v>
      </c>
      <c r="C3" s="3" t="s">
        <v>101</v>
      </c>
    </row>
    <row r="4" customFormat="false" ht="15" hidden="false" customHeight="true" outlineLevel="0" collapsed="false">
      <c r="A4" s="17" t="s">
        <v>102</v>
      </c>
      <c r="B4" s="18" t="s">
        <v>103</v>
      </c>
      <c r="C4" s="4"/>
    </row>
    <row r="5" customFormat="false" ht="15" hidden="false" customHeight="true" outlineLevel="0" collapsed="false">
      <c r="A5" s="4" t="s">
        <v>104</v>
      </c>
      <c r="B5" s="18" t="s">
        <v>105</v>
      </c>
      <c r="C5" s="19" t="n">
        <v>-2.44124932144789</v>
      </c>
    </row>
    <row r="6" customFormat="false" ht="15" hidden="false" customHeight="true" outlineLevel="0" collapsed="false">
      <c r="A6" s="4" t="s">
        <v>106</v>
      </c>
      <c r="B6" s="18" t="s">
        <v>107</v>
      </c>
      <c r="C6" s="19" t="n">
        <v>-2.4092737202321</v>
      </c>
    </row>
    <row r="7" customFormat="false" ht="15" hidden="false" customHeight="true" outlineLevel="0" collapsed="false">
      <c r="A7" s="4" t="s">
        <v>108</v>
      </c>
      <c r="B7" s="18" t="s">
        <v>109</v>
      </c>
      <c r="C7" s="19" t="n">
        <v>-2.3772981190163</v>
      </c>
    </row>
    <row r="8" customFormat="false" ht="15" hidden="false" customHeight="true" outlineLevel="0" collapsed="false">
      <c r="A8" s="4" t="s">
        <v>110</v>
      </c>
      <c r="B8" s="18" t="s">
        <v>111</v>
      </c>
      <c r="C8" s="19" t="n">
        <v>0.0639512024315933</v>
      </c>
    </row>
    <row r="9" customFormat="false" ht="15" hidden="false" customHeight="true" outlineLevel="0" collapsed="false">
      <c r="A9" s="4" t="s">
        <v>112</v>
      </c>
      <c r="B9" s="18" t="s">
        <v>113</v>
      </c>
      <c r="C9" s="19" t="n">
        <v>-0.203437443453991</v>
      </c>
    </row>
    <row r="10" customFormat="false" ht="15" hidden="false" customHeight="true" outlineLevel="0" collapsed="false">
      <c r="A10" s="4" t="s">
        <v>114</v>
      </c>
      <c r="B10" s="18" t="s">
        <v>115</v>
      </c>
      <c r="C10" s="19" t="n">
        <v>-0.199440493302016</v>
      </c>
    </row>
    <row r="11" customFormat="false" ht="15" hidden="false" customHeight="true" outlineLevel="0" collapsed="false">
      <c r="A11" s="4" t="s">
        <v>116</v>
      </c>
      <c r="B11" s="18" t="s">
        <v>117</v>
      </c>
      <c r="C11" s="19" t="n">
        <v>-0.00399695015197458</v>
      </c>
    </row>
    <row r="12" customFormat="false" ht="15" hidden="false" customHeight="true" outlineLevel="0" collapsed="false">
      <c r="A12" s="4" t="s">
        <v>118</v>
      </c>
      <c r="B12" s="18" t="s">
        <v>119</v>
      </c>
      <c r="C12" s="19" t="n">
        <v>0.104166666666667</v>
      </c>
    </row>
    <row r="13" customFormat="false" ht="15" hidden="false" customHeight="true" outlineLevel="0" collapsed="false">
      <c r="A13" s="4" t="s">
        <v>120</v>
      </c>
      <c r="B13" s="18" t="s">
        <v>111</v>
      </c>
      <c r="C13" s="19" t="n">
        <v>0.0639512024315933</v>
      </c>
    </row>
    <row r="14" customFormat="false" ht="15" hidden="false" customHeight="true" outlineLevel="0" collapsed="false">
      <c r="A14" s="4" t="s">
        <v>121</v>
      </c>
      <c r="B14" s="18" t="s">
        <v>122</v>
      </c>
      <c r="C14" s="19" t="n">
        <v>0.48</v>
      </c>
    </row>
    <row r="16" customFormat="false" ht="15" hidden="false" customHeight="true" outlineLevel="0" collapsed="false">
      <c r="A16" s="13" t="s">
        <v>123</v>
      </c>
    </row>
    <row r="17" customFormat="false" ht="15" hidden="false" customHeight="true" outlineLevel="0" collapsed="false">
      <c r="A17" s="3" t="s">
        <v>124</v>
      </c>
      <c r="B17" s="3" t="s">
        <v>125</v>
      </c>
      <c r="C17" s="3" t="s">
        <v>126</v>
      </c>
    </row>
    <row r="18" customFormat="false" ht="15" hidden="false" customHeight="true" outlineLevel="0" collapsed="false">
      <c r="A18" s="20" t="s">
        <v>127</v>
      </c>
      <c r="B18" s="20" t="s">
        <v>128</v>
      </c>
      <c r="C18" s="21" t="s">
        <v>129</v>
      </c>
    </row>
    <row r="19" customFormat="false" ht="15" hidden="false" customHeight="true" outlineLevel="0" collapsed="false">
      <c r="A19" s="20" t="s">
        <v>130</v>
      </c>
      <c r="B19" s="20" t="s">
        <v>131</v>
      </c>
      <c r="C19" s="21" t="s">
        <v>129</v>
      </c>
    </row>
    <row r="20" customFormat="false" ht="15" hidden="false" customHeight="true" outlineLevel="0" collapsed="false">
      <c r="A20" s="20" t="s">
        <v>132</v>
      </c>
      <c r="B20" s="20" t="s">
        <v>133</v>
      </c>
      <c r="C20" s="21" t="s">
        <v>134</v>
      </c>
    </row>
    <row r="21" customFormat="false" ht="15" hidden="false" customHeight="true" outlineLevel="0" collapsed="false">
      <c r="A21" s="20" t="s">
        <v>135</v>
      </c>
      <c r="B21" s="20" t="s">
        <v>136</v>
      </c>
      <c r="C21" s="21" t="s">
        <v>137</v>
      </c>
    </row>
    <row r="22" customFormat="false" ht="15" hidden="false" customHeight="true" outlineLevel="0" collapsed="false">
      <c r="A22" s="20" t="s">
        <v>138</v>
      </c>
      <c r="B22" s="20" t="s">
        <v>139</v>
      </c>
      <c r="C22" s="21" t="s">
        <v>137</v>
      </c>
    </row>
    <row r="23" customFormat="false" ht="15" hidden="false" customHeight="true" outlineLevel="0" collapsed="false">
      <c r="A23" s="20" t="s">
        <v>140</v>
      </c>
      <c r="B23" s="20" t="s">
        <v>141</v>
      </c>
      <c r="C23" s="21" t="s">
        <v>134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2"/>
    <col collapsed="false" customWidth="true" hidden="false" outlineLevel="0" max="3" min="3" style="1" width="30"/>
    <col collapsed="false" customWidth="true" hidden="false" outlineLevel="0" max="4" min="4" style="1" width="22"/>
  </cols>
  <sheetData>
    <row r="1" customFormat="false" ht="24" hidden="false" customHeight="true" outlineLevel="0" collapsed="false">
      <c r="A1" s="2" t="s">
        <v>142</v>
      </c>
      <c r="B1" s="2"/>
      <c r="C1" s="2"/>
      <c r="D1" s="2"/>
    </row>
    <row r="3" customFormat="false" ht="15" hidden="false" customHeight="true" outlineLevel="0" collapsed="false">
      <c r="A3" s="3" t="s">
        <v>143</v>
      </c>
      <c r="B3" s="3" t="s">
        <v>144</v>
      </c>
      <c r="C3" s="3" t="s">
        <v>145</v>
      </c>
      <c r="D3" s="3" t="s">
        <v>146</v>
      </c>
    </row>
    <row r="4" customFormat="false" ht="26.25" hidden="false" customHeight="true" outlineLevel="0" collapsed="false">
      <c r="A4" s="18" t="s">
        <v>147</v>
      </c>
      <c r="B4" s="18" t="s">
        <v>148</v>
      </c>
      <c r="C4" s="18" t="s">
        <v>149</v>
      </c>
      <c r="D4" s="18" t="s">
        <v>150</v>
      </c>
    </row>
    <row r="5" customFormat="false" ht="26.25" hidden="false" customHeight="true" outlineLevel="0" collapsed="false">
      <c r="A5" s="18" t="s">
        <v>151</v>
      </c>
      <c r="B5" s="18" t="s">
        <v>152</v>
      </c>
      <c r="C5" s="18" t="s">
        <v>153</v>
      </c>
      <c r="D5" s="18" t="s">
        <v>154</v>
      </c>
    </row>
    <row r="6" customFormat="false" ht="26.25" hidden="false" customHeight="true" outlineLevel="0" collapsed="false">
      <c r="A6" s="18" t="s">
        <v>155</v>
      </c>
      <c r="B6" s="18" t="s">
        <v>156</v>
      </c>
      <c r="C6" s="18" t="s">
        <v>157</v>
      </c>
      <c r="D6" s="18" t="s">
        <v>158</v>
      </c>
    </row>
    <row r="7" customFormat="false" ht="15" hidden="false" customHeight="true" outlineLevel="0" collapsed="false">
      <c r="A7" s="18" t="s">
        <v>159</v>
      </c>
      <c r="B7" s="18" t="s">
        <v>160</v>
      </c>
      <c r="C7" s="18" t="s">
        <v>161</v>
      </c>
      <c r="D7" s="18" t="s">
        <v>158</v>
      </c>
    </row>
    <row r="8" customFormat="false" ht="15" hidden="false" customHeight="true" outlineLevel="0" collapsed="false">
      <c r="A8" s="18" t="s">
        <v>162</v>
      </c>
      <c r="B8" s="18" t="s">
        <v>163</v>
      </c>
      <c r="C8" s="18" t="s">
        <v>164</v>
      </c>
      <c r="D8" s="18" t="s">
        <v>165</v>
      </c>
    </row>
    <row r="9" customFormat="false" ht="26.25" hidden="false" customHeight="true" outlineLevel="0" collapsed="false">
      <c r="A9" s="18" t="s">
        <v>166</v>
      </c>
      <c r="B9" s="18" t="s">
        <v>167</v>
      </c>
      <c r="C9" s="18" t="s">
        <v>168</v>
      </c>
      <c r="D9" s="18" t="s">
        <v>165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21.75" hidden="false" customHeight="true" outlineLevel="0" collapsed="false">
      <c r="A1" s="15" t="s">
        <v>169</v>
      </c>
      <c r="B1" s="15"/>
      <c r="C1" s="15"/>
      <c r="D1" s="15"/>
    </row>
    <row r="3" customFormat="false" ht="15" hidden="false" customHeight="false" outlineLevel="0" collapsed="false">
      <c r="A3" s="22" t="s">
        <v>99</v>
      </c>
      <c r="B3" s="22" t="s">
        <v>170</v>
      </c>
      <c r="C3" s="22" t="s">
        <v>101</v>
      </c>
      <c r="D3" s="22" t="s">
        <v>171</v>
      </c>
    </row>
    <row r="4" customFormat="false" ht="26.85" hidden="false" customHeight="false" outlineLevel="0" collapsed="false">
      <c r="A4" s="18" t="s">
        <v>172</v>
      </c>
      <c r="B4" s="18" t="s">
        <v>173</v>
      </c>
      <c r="C4" s="18" t="n">
        <v>-2.857916</v>
      </c>
      <c r="D4" s="18" t="s">
        <v>174</v>
      </c>
    </row>
    <row r="5" customFormat="false" ht="15" hidden="false" customHeight="false" outlineLevel="0" collapsed="false">
      <c r="A5" s="18" t="s">
        <v>175</v>
      </c>
      <c r="B5" s="18" t="s">
        <v>109</v>
      </c>
      <c r="C5" s="18" t="n">
        <v>-2.377298</v>
      </c>
      <c r="D5" s="18" t="s">
        <v>176</v>
      </c>
    </row>
    <row r="6" customFormat="false" ht="15" hidden="false" customHeight="false" outlineLevel="0" collapsed="false">
      <c r="A6" s="23" t="s">
        <v>177</v>
      </c>
      <c r="B6" s="23" t="s">
        <v>178</v>
      </c>
      <c r="C6" s="23" t="n">
        <v>0.480618</v>
      </c>
      <c r="D6" s="23" t="s">
        <v>174</v>
      </c>
    </row>
    <row r="7" customFormat="false" ht="15" hidden="false" customHeight="false" outlineLevel="0" collapsed="false">
      <c r="A7" s="18" t="s">
        <v>179</v>
      </c>
      <c r="B7" s="18" t="s">
        <v>111</v>
      </c>
      <c r="C7" s="18" t="n">
        <v>0.063951</v>
      </c>
      <c r="D7" s="18" t="s">
        <v>176</v>
      </c>
    </row>
    <row r="8" customFormat="false" ht="15" hidden="false" customHeight="false" outlineLevel="0" collapsed="false">
      <c r="A8" s="18" t="s">
        <v>180</v>
      </c>
      <c r="B8" s="18"/>
      <c r="C8" s="18" t="s">
        <v>181</v>
      </c>
      <c r="D8" s="18" t="s">
        <v>182</v>
      </c>
    </row>
    <row r="9" customFormat="false" ht="15" hidden="false" customHeight="false" outlineLevel="0" collapsed="false">
      <c r="A9" s="18" t="s">
        <v>183</v>
      </c>
      <c r="B9" s="18" t="s">
        <v>184</v>
      </c>
      <c r="C9" s="18"/>
      <c r="D9" s="18" t="s">
        <v>174</v>
      </c>
    </row>
    <row r="10" customFormat="false" ht="15" hidden="false" customHeight="false" outlineLevel="0" collapsed="false">
      <c r="A10" s="18" t="s">
        <v>185</v>
      </c>
      <c r="B10" s="18"/>
      <c r="C10" s="18" t="s">
        <v>186</v>
      </c>
      <c r="D10" s="18" t="s">
        <v>182</v>
      </c>
    </row>
    <row r="11" customFormat="false" ht="15" hidden="false" customHeight="false" outlineLevel="0" collapsed="false">
      <c r="A11" s="18" t="s">
        <v>187</v>
      </c>
      <c r="B11" s="18"/>
      <c r="C11" s="18" t="s">
        <v>188</v>
      </c>
      <c r="D11" s="18" t="s">
        <v>182</v>
      </c>
    </row>
    <row r="12" customFormat="false" ht="15" hidden="false" customHeight="false" outlineLevel="0" collapsed="false">
      <c r="A12" s="23" t="s">
        <v>189</v>
      </c>
      <c r="B12" s="23" t="s">
        <v>190</v>
      </c>
      <c r="C12" s="23" t="s">
        <v>191</v>
      </c>
      <c r="D12" s="23" t="s">
        <v>182</v>
      </c>
    </row>
    <row r="13" customFormat="false" ht="15" hidden="false" customHeight="false" outlineLevel="0" collapsed="false">
      <c r="A13" s="18" t="s">
        <v>192</v>
      </c>
      <c r="B13" s="18" t="s">
        <v>193</v>
      </c>
      <c r="C13" s="18"/>
      <c r="D13" s="18" t="s">
        <v>194</v>
      </c>
    </row>
    <row r="15" customFormat="false" ht="15" hidden="false" customHeight="false" outlineLevel="0" collapsed="false">
      <c r="A15" s="24" t="s">
        <v>195</v>
      </c>
    </row>
    <row r="16" customFormat="false" ht="15" hidden="false" customHeight="false" outlineLevel="0" collapsed="false">
      <c r="A16" s="25" t="s">
        <v>196</v>
      </c>
      <c r="B16" s="25"/>
      <c r="C16" s="25"/>
      <c r="D16" s="25"/>
    </row>
    <row r="17" customFormat="false" ht="15" hidden="false" customHeight="false" outlineLevel="0" collapsed="false">
      <c r="A17" s="25" t="s">
        <v>197</v>
      </c>
      <c r="B17" s="25"/>
      <c r="C17" s="25"/>
      <c r="D17" s="25"/>
    </row>
    <row r="18" customFormat="false" ht="15" hidden="false" customHeight="false" outlineLevel="0" collapsed="false">
      <c r="A18" s="25" t="s">
        <v>198</v>
      </c>
      <c r="B18" s="25"/>
      <c r="C18" s="25"/>
      <c r="D18" s="25"/>
    </row>
    <row r="19" customFormat="false" ht="15" hidden="false" customHeight="false" outlineLevel="0" collapsed="false">
      <c r="A19" s="25" t="s">
        <v>199</v>
      </c>
      <c r="B19" s="25"/>
      <c r="C19" s="25"/>
      <c r="D19" s="25"/>
    </row>
    <row r="20" customFormat="false" ht="15" hidden="false" customHeight="false" outlineLevel="0" collapsed="false">
      <c r="A20" s="25" t="s">
        <v>200</v>
      </c>
      <c r="B20" s="25"/>
      <c r="C20" s="25"/>
      <c r="D20" s="25"/>
    </row>
  </sheetData>
  <mergeCells count="6">
    <mergeCell ref="A1:D1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2026-06-13T18:02:29Z</dcterms:created>
  <dc:creator>openpyxl</dc:creator>
  <dc:description/>
  <dc:language>en-US</dc:language>
  <cp:lastModifiedBy/>
  <dcterms:modified xsi:type="dcterms:W3CDTF">2026-06-13T18:44:43Z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